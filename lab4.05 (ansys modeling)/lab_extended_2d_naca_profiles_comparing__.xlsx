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ansys\lab3_2d_naca0008_airfoil_lift_drag\"/>
    </mc:Choice>
  </mc:AlternateContent>
  <xr:revisionPtr revIDLastSave="0" documentId="13_ncr:1_{F5122559-0E5E-438E-BC99-5837656A6887}" xr6:coauthVersionLast="47" xr6:coauthVersionMax="47" xr10:uidLastSave="{00000000-0000-0000-0000-000000000000}"/>
  <bookViews>
    <workbookView xWindow="-108" yWindow="-108" windowWidth="23256" windowHeight="12576" xr2:uid="{7B496D68-125D-4971-A94B-B20A46E05559}"/>
  </bookViews>
  <sheets>
    <sheet name="Расчет2" sheetId="3" r:id="rId1"/>
    <sheet name="Ma=0,0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3" l="1"/>
  <c r="I6" i="3"/>
  <c r="K10" i="3"/>
  <c r="J13" i="3" l="1"/>
  <c r="I13" i="3"/>
  <c r="K11" i="3"/>
  <c r="K12" i="3"/>
  <c r="K9" i="3"/>
  <c r="C9" i="2" l="1"/>
  <c r="C8" i="2"/>
  <c r="C5" i="2"/>
</calcChain>
</file>

<file path=xl/sharedStrings.xml><?xml version="1.0" encoding="utf-8"?>
<sst xmlns="http://schemas.openxmlformats.org/spreadsheetml/2006/main" count="64" uniqueCount="40">
  <si>
    <t>угол атаки</t>
  </si>
  <si>
    <t xml:space="preserve">Отнсительная толщина </t>
  </si>
  <si>
    <t>Ма</t>
  </si>
  <si>
    <t>Корень Аккерета</t>
  </si>
  <si>
    <t>CL</t>
  </si>
  <si>
    <t>CD</t>
  </si>
  <si>
    <t>Численно</t>
  </si>
  <si>
    <t>Аналитически</t>
  </si>
  <si>
    <t>Параметры</t>
  </si>
  <si>
    <t>Угол атаки</t>
  </si>
  <si>
    <t>angle</t>
  </si>
  <si>
    <t>machNumber_1</t>
  </si>
  <si>
    <t>naca_0008</t>
  </si>
  <si>
    <t>naca_0012</t>
  </si>
  <si>
    <t>Скорость нагнетания дозвук</t>
  </si>
  <si>
    <t>Скорость нагнетания сверхзвук</t>
  </si>
  <si>
    <t>Ansys</t>
  </si>
  <si>
    <t>Naca 0008</t>
  </si>
  <si>
    <t>Расчёты</t>
  </si>
  <si>
    <t>Naca 0012</t>
  </si>
  <si>
    <t>вязкость воздуха</t>
  </si>
  <si>
    <t>v</t>
  </si>
  <si>
    <t>Аккерета</t>
  </si>
  <si>
    <t>Вывод</t>
  </si>
  <si>
    <t>Cd</t>
  </si>
  <si>
    <t>-------------------------------- -------------------</t>
  </si>
  <si>
    <t>aerofoil 0.013333121</t>
  </si>
  <si>
    <t>Cl</t>
  </si>
  <si>
    <t>Calculation complete.</t>
  </si>
  <si>
    <t>aerofoil 0.71737704</t>
  </si>
  <si>
    <t>8 50</t>
  </si>
  <si>
    <t>aerofoil 0.14389674</t>
  </si>
  <si>
    <t>aerofoil 0.5787232</t>
  </si>
  <si>
    <t>12 50</t>
  </si>
  <si>
    <t>aerofoil 0.015281266</t>
  </si>
  <si>
    <t>aerofoil 0.86592306</t>
  </si>
  <si>
    <t>Delta</t>
  </si>
  <si>
    <t>CL/CD=</t>
  </si>
  <si>
    <t>0012 даёт больше подъёмной силы и сопротивления, но 0008 аэродинамически эффективнее в плане CL/CD.</t>
  </si>
  <si>
    <t>0012 даёт больше подъёмной силы, но сопротивление растёт сильнее т.к. на сз волновое сопротивление пропорционально квадрату толщины профиля. 0008 аэродинамически эффективнее.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</si>
</sst>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Ma=&quot;\ 0.00"/>
  </numFmts>
  <fonts count="6" x14ac:knownFonts="1">
    <font>
      <sz val="11"/>
      <color theme="1"/>
      <name val="Aptos Narrow"/>
      <family val="2"/>
      <charset val="204"/>
      <scheme val="minor"/>
    </font>
    <font>
      <sz val="10"/>
      <color rgb="FF24292E"/>
      <name val="Segoe U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0" fontId="4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0" fontId="4" fillId="0" borderId="12" xfId="0" applyNumberFormat="1" applyFont="1" applyBorder="1" applyAlignment="1">
      <alignment horizontal="center" vertical="center" wrapText="1"/>
    </xf>
    <xf numFmtId="10" fontId="4" fillId="0" borderId="13" xfId="0" applyNumberFormat="1" applyFont="1" applyBorder="1" applyAlignment="1">
      <alignment horizontal="center" vertical="center" wrapText="1"/>
    </xf>
    <xf numFmtId="10" fontId="4" fillId="0" borderId="1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274615</xdr:colOff>
      <xdr:row>20</xdr:row>
      <xdr:rowOff>56903</xdr:rowOff>
    </xdr:from>
    <xdr:to>
      <xdr:col>3</xdr:col>
      <xdr:colOff>1309735</xdr:colOff>
      <xdr:row>29</xdr:row>
      <xdr:rowOff>132507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6D38C4A1-E087-CF2E-D18E-BDC92B3F1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297" y="6239494"/>
          <a:ext cx="4013847" cy="1790104"/>
        </a:xfrm>
        <a:prstGeom prst="rect">
          <a:avLst/>
        </a:prstGeom>
      </xdr:spPr>
    </xdr:pic>
    <xdr:clientData/>
  </xdr:twoCellAnchor>
  <xdr:twoCellAnchor editAs="oneCell">
    <xdr:from>
      <xdr:col>11</xdr:col>
      <xdr:colOff>6276110</xdr:colOff>
      <xdr:row>13</xdr:row>
      <xdr:rowOff>387927</xdr:rowOff>
    </xdr:from>
    <xdr:to>
      <xdr:col>17</xdr:col>
      <xdr:colOff>245114</xdr:colOff>
      <xdr:row>32</xdr:row>
      <xdr:rowOff>183944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C573A2E-B7AD-E84A-B4A8-CA8DAC1B5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56728" y="4862945"/>
          <a:ext cx="6438095" cy="39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2476500</xdr:colOff>
      <xdr:row>17</xdr:row>
      <xdr:rowOff>95250</xdr:rowOff>
    </xdr:from>
    <xdr:to>
      <xdr:col>10</xdr:col>
      <xdr:colOff>485231</xdr:colOff>
      <xdr:row>32</xdr:row>
      <xdr:rowOff>28219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0A98339-0B7A-461A-57FE-5BE38CA6D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3600" y="6457950"/>
          <a:ext cx="4352381" cy="2847619"/>
        </a:xfrm>
        <a:prstGeom prst="rect">
          <a:avLst/>
        </a:prstGeom>
      </xdr:spPr>
    </xdr:pic>
    <xdr:clientData/>
  </xdr:twoCellAnchor>
  <xdr:twoCellAnchor editAs="oneCell">
    <xdr:from>
      <xdr:col>11</xdr:col>
      <xdr:colOff>266700</xdr:colOff>
      <xdr:row>19</xdr:row>
      <xdr:rowOff>76200</xdr:rowOff>
    </xdr:from>
    <xdr:to>
      <xdr:col>11</xdr:col>
      <xdr:colOff>5229149</xdr:colOff>
      <xdr:row>30</xdr:row>
      <xdr:rowOff>103690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CE894C2-202B-4015-BA11-0E46528BD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87150" y="6877050"/>
          <a:ext cx="4962449" cy="2122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C590-7DC6-4655-9F01-FB94DABB976A}">
  <dimension ref="B2:AR33"/>
  <sheetViews>
    <sheetView tabSelected="1" topLeftCell="A4" zoomScale="56" zoomScaleNormal="40" workbookViewId="0">
      <selection activeCell="H16" sqref="H16"/>
    </sheetView>
  </sheetViews>
  <sheetFormatPr defaultColWidth="9.109375" defaultRowHeight="15" customHeight="1" x14ac:dyDescent="0.3"/>
  <cols>
    <col min="1" max="1" width="5.44140625" style="2" customWidth="1"/>
    <col min="2" max="3" width="22.44140625" style="3" customWidth="1"/>
    <col min="4" max="4" width="38.109375" style="3" bestFit="1" customWidth="1"/>
    <col min="5" max="5" width="1.6640625" style="3" customWidth="1"/>
    <col min="6" max="6" width="1.6640625" style="2" customWidth="1"/>
    <col min="7" max="10" width="12.6640625" style="2" customWidth="1"/>
    <col min="11" max="11" width="20.44140625" style="2" customWidth="1"/>
    <col min="12" max="12" width="136.44140625" style="2" customWidth="1"/>
    <col min="13" max="18" width="9.109375" style="2"/>
    <col min="19" max="19" width="0" style="2" hidden="1" customWidth="1"/>
    <col min="20" max="20" width="74.33203125" style="2" hidden="1" customWidth="1"/>
    <col min="21" max="35" width="0" style="2" hidden="1" customWidth="1"/>
    <col min="36" max="16384" width="9.109375" style="2"/>
  </cols>
  <sheetData>
    <row r="2" spans="2:44" ht="15" customHeight="1" x14ac:dyDescent="0.3">
      <c r="B2" s="4"/>
      <c r="C2" s="4"/>
      <c r="D2" s="4"/>
      <c r="E2" s="4"/>
      <c r="T2" s="2" t="s">
        <v>30</v>
      </c>
      <c r="X2" s="28">
        <v>8520</v>
      </c>
      <c r="AB2" s="28">
        <v>12520</v>
      </c>
      <c r="AE2" s="2" t="s">
        <v>33</v>
      </c>
    </row>
    <row r="3" spans="2:44" ht="15" customHeight="1" x14ac:dyDescent="0.3">
      <c r="B3" s="4"/>
      <c r="C3" s="4"/>
      <c r="D3" s="4"/>
      <c r="E3" s="4"/>
      <c r="T3" t="s">
        <v>28</v>
      </c>
      <c r="X3" t="s">
        <v>28</v>
      </c>
      <c r="AB3" t="s">
        <v>24</v>
      </c>
    </row>
    <row r="4" spans="2:44" ht="15" customHeight="1" x14ac:dyDescent="0.3">
      <c r="B4" s="4"/>
      <c r="C4" s="4"/>
      <c r="D4" s="4"/>
      <c r="E4" s="4"/>
      <c r="T4"/>
      <c r="X4"/>
      <c r="AB4" t="s">
        <v>25</v>
      </c>
      <c r="AE4" t="s">
        <v>24</v>
      </c>
    </row>
    <row r="5" spans="2:44" ht="15" customHeight="1" x14ac:dyDescent="0.3">
      <c r="B5" s="4"/>
      <c r="C5" s="4"/>
      <c r="D5" s="4"/>
      <c r="E5" s="4"/>
      <c r="T5" t="s">
        <v>24</v>
      </c>
      <c r="X5" t="s">
        <v>27</v>
      </c>
      <c r="AB5" t="s">
        <v>31</v>
      </c>
      <c r="AE5" t="s">
        <v>25</v>
      </c>
    </row>
    <row r="6" spans="2:44" ht="46.8" customHeight="1" x14ac:dyDescent="0.3">
      <c r="B6" s="4"/>
      <c r="C6" s="4"/>
      <c r="D6" s="4"/>
      <c r="E6" s="4"/>
      <c r="G6" s="46"/>
      <c r="H6" s="46" t="s">
        <v>37</v>
      </c>
      <c r="I6" s="46">
        <f>I9/I10</f>
        <v>63.692307692307693</v>
      </c>
      <c r="J6" s="46">
        <f>J9/J10</f>
        <v>57.666666666666671</v>
      </c>
      <c r="T6" t="s">
        <v>25</v>
      </c>
      <c r="U6"/>
      <c r="X6" t="s">
        <v>25</v>
      </c>
      <c r="AB6"/>
      <c r="AE6" t="s">
        <v>34</v>
      </c>
    </row>
    <row r="7" spans="2:44" ht="20.100000000000001" customHeight="1" x14ac:dyDescent="0.3">
      <c r="B7" s="33" t="s">
        <v>8</v>
      </c>
      <c r="C7" s="34"/>
      <c r="D7" s="35"/>
      <c r="E7" s="4"/>
      <c r="G7" s="33" t="s">
        <v>18</v>
      </c>
      <c r="H7" s="35"/>
      <c r="I7" s="19" t="s">
        <v>17</v>
      </c>
      <c r="J7" s="22" t="s">
        <v>19</v>
      </c>
      <c r="K7" s="25" t="s">
        <v>36</v>
      </c>
      <c r="L7" s="36" t="s">
        <v>23</v>
      </c>
      <c r="T7" t="s">
        <v>26</v>
      </c>
      <c r="U7"/>
      <c r="X7" t="s">
        <v>29</v>
      </c>
      <c r="AB7" t="s">
        <v>27</v>
      </c>
      <c r="AE7"/>
    </row>
    <row r="8" spans="2:44" ht="20.100000000000001" customHeight="1" x14ac:dyDescent="0.3">
      <c r="B8" s="13" t="s">
        <v>12</v>
      </c>
      <c r="C8" s="12">
        <v>0.08</v>
      </c>
      <c r="D8" s="11" t="s">
        <v>1</v>
      </c>
      <c r="G8" s="38"/>
      <c r="H8" s="39"/>
      <c r="I8" s="27" t="s">
        <v>16</v>
      </c>
      <c r="J8" s="24" t="s">
        <v>16</v>
      </c>
      <c r="K8" s="25" t="s">
        <v>16</v>
      </c>
      <c r="L8" s="37"/>
      <c r="T8"/>
      <c r="U8"/>
      <c r="X8"/>
      <c r="AB8" t="s">
        <v>25</v>
      </c>
      <c r="AE8" t="s">
        <v>27</v>
      </c>
    </row>
    <row r="9" spans="2:44" ht="49.95" customHeight="1" x14ac:dyDescent="0.3">
      <c r="B9" s="10" t="s">
        <v>13</v>
      </c>
      <c r="C9" s="20">
        <v>0.12</v>
      </c>
      <c r="D9" s="9" t="s">
        <v>1</v>
      </c>
      <c r="F9" s="40"/>
      <c r="G9" s="41">
        <v>0.15</v>
      </c>
      <c r="H9" s="26" t="s">
        <v>4</v>
      </c>
      <c r="I9" s="16">
        <v>0.82799999999999996</v>
      </c>
      <c r="J9" s="18">
        <v>0.86499999999999999</v>
      </c>
      <c r="K9" s="30">
        <f>J9/I9-1</f>
        <v>4.4685990338164228E-2</v>
      </c>
      <c r="L9" s="45" t="s">
        <v>38</v>
      </c>
      <c r="T9" t="s">
        <v>27</v>
      </c>
      <c r="U9"/>
      <c r="X9" t="s">
        <v>24</v>
      </c>
      <c r="AB9" t="s">
        <v>32</v>
      </c>
      <c r="AE9" t="s">
        <v>25</v>
      </c>
      <c r="AO9" s="14">
        <v>0.57799999999999996</v>
      </c>
      <c r="AR9" s="29">
        <v>0.21</v>
      </c>
    </row>
    <row r="10" spans="2:44" ht="49.95" customHeight="1" x14ac:dyDescent="0.3">
      <c r="B10" s="10" t="s">
        <v>10</v>
      </c>
      <c r="C10" s="21">
        <v>8.7260000000000004E-2</v>
      </c>
      <c r="D10" s="9" t="s">
        <v>9</v>
      </c>
      <c r="F10" s="40"/>
      <c r="G10" s="41"/>
      <c r="H10" s="26" t="s">
        <v>5</v>
      </c>
      <c r="I10" s="17">
        <v>1.2999999999999999E-2</v>
      </c>
      <c r="J10" s="14">
        <v>1.4999999999999999E-2</v>
      </c>
      <c r="K10" s="31">
        <f>J10/I10-1</f>
        <v>0.15384615384615397</v>
      </c>
      <c r="L10" s="43"/>
      <c r="T10" t="s">
        <v>25</v>
      </c>
      <c r="U10"/>
      <c r="X10" t="s">
        <v>25</v>
      </c>
      <c r="AE10" t="s">
        <v>35</v>
      </c>
      <c r="AO10" s="15">
        <v>0.14299999999999999</v>
      </c>
      <c r="AR10" s="42">
        <v>0.12</v>
      </c>
    </row>
    <row r="11" spans="2:44" ht="49.95" customHeight="1" x14ac:dyDescent="0.3">
      <c r="B11" s="10" t="s">
        <v>11</v>
      </c>
      <c r="C11" s="20">
        <v>0.15</v>
      </c>
      <c r="D11" s="9" t="s">
        <v>14</v>
      </c>
      <c r="G11" s="41">
        <v>1.5</v>
      </c>
      <c r="H11" s="26" t="s">
        <v>4</v>
      </c>
      <c r="I11" s="17">
        <v>0.21</v>
      </c>
      <c r="J11" s="14">
        <v>0.24</v>
      </c>
      <c r="K11" s="31">
        <f t="shared" ref="K10:K12" si="0">J11/I11-1</f>
        <v>0.14285714285714279</v>
      </c>
      <c r="L11" s="43" t="s">
        <v>39</v>
      </c>
      <c r="U11" s="2" t="s">
        <v>22</v>
      </c>
    </row>
    <row r="12" spans="2:44" ht="49.95" customHeight="1" x14ac:dyDescent="0.3">
      <c r="B12" s="10" t="s">
        <v>11</v>
      </c>
      <c r="C12" s="20">
        <v>1.5</v>
      </c>
      <c r="D12" s="9" t="s">
        <v>15</v>
      </c>
      <c r="G12" s="41"/>
      <c r="H12" s="26" t="s">
        <v>5</v>
      </c>
      <c r="I12" s="23">
        <v>0.08</v>
      </c>
      <c r="J12" s="15">
        <v>0.12</v>
      </c>
      <c r="K12" s="32">
        <f t="shared" si="0"/>
        <v>0.5</v>
      </c>
      <c r="L12" s="44"/>
    </row>
    <row r="13" spans="2:44" ht="35.1" customHeight="1" x14ac:dyDescent="0.3">
      <c r="B13" s="8" t="s">
        <v>21</v>
      </c>
      <c r="C13" s="7">
        <v>1.4610000000000001E-5</v>
      </c>
      <c r="D13" s="6" t="s">
        <v>20</v>
      </c>
      <c r="H13" s="46" t="s">
        <v>37</v>
      </c>
      <c r="I13" s="46">
        <f>I11/I12</f>
        <v>2.625</v>
      </c>
      <c r="J13" s="46">
        <f>J11/J12</f>
        <v>2</v>
      </c>
    </row>
    <row r="14" spans="2:44" ht="35.1" customHeight="1" x14ac:dyDescent="0.3">
      <c r="B14" s="4"/>
      <c r="C14" s="29"/>
      <c r="D14" s="4"/>
    </row>
    <row r="15" spans="2:44" ht="20.100000000000001" customHeight="1" x14ac:dyDescent="0.3">
      <c r="B15" s="4"/>
      <c r="C15" s="4"/>
      <c r="D15" s="4"/>
    </row>
    <row r="16" spans="2:44" ht="20.100000000000001" customHeight="1" x14ac:dyDescent="0.3">
      <c r="B16" s="4"/>
      <c r="C16" s="4"/>
      <c r="D16" s="4"/>
    </row>
    <row r="17" spans="3:11" ht="20.100000000000001" customHeight="1" x14ac:dyDescent="0.3">
      <c r="D17" s="4"/>
    </row>
    <row r="18" spans="3:11" ht="20.100000000000001" customHeight="1" x14ac:dyDescent="0.3"/>
    <row r="19" spans="3:11" ht="15" customHeight="1" x14ac:dyDescent="0.3">
      <c r="C19" s="5"/>
    </row>
    <row r="32" spans="3:11" ht="15" customHeight="1" x14ac:dyDescent="0.3">
      <c r="G32"/>
      <c r="H32"/>
      <c r="K32"/>
    </row>
    <row r="33" spans="8:8" ht="15" customHeight="1" x14ac:dyDescent="0.3">
      <c r="H33"/>
    </row>
  </sheetData>
  <mergeCells count="8">
    <mergeCell ref="G11:G12"/>
    <mergeCell ref="L11:L12"/>
    <mergeCell ref="L9:L10"/>
    <mergeCell ref="B7:D7"/>
    <mergeCell ref="L7:L8"/>
    <mergeCell ref="G7:H8"/>
    <mergeCell ref="F9:F10"/>
    <mergeCell ref="G9:G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0E49-CF56-4E01-A94C-C802F2F165AF}">
  <dimension ref="B2:D9"/>
  <sheetViews>
    <sheetView workbookViewId="0">
      <selection activeCell="F21" sqref="F21"/>
    </sheetView>
  </sheetViews>
  <sheetFormatPr defaultRowHeight="14.4" x14ac:dyDescent="0.3"/>
  <cols>
    <col min="2" max="2" width="22.33203125" bestFit="1" customWidth="1"/>
    <col min="3" max="3" width="12" bestFit="1" customWidth="1"/>
    <col min="4" max="4" width="13.33203125" bestFit="1" customWidth="1"/>
  </cols>
  <sheetData>
    <row r="2" spans="2:4" ht="15" x14ac:dyDescent="0.35">
      <c r="B2" s="1" t="s">
        <v>1</v>
      </c>
      <c r="C2">
        <v>0.08</v>
      </c>
    </row>
    <row r="3" spans="2:4" x14ac:dyDescent="0.3">
      <c r="B3" t="s">
        <v>0</v>
      </c>
      <c r="C3">
        <v>8.7260000000000004E-2</v>
      </c>
    </row>
    <row r="4" spans="2:4" x14ac:dyDescent="0.3">
      <c r="B4" t="s">
        <v>2</v>
      </c>
      <c r="C4">
        <v>1.5</v>
      </c>
    </row>
    <row r="5" spans="2:4" x14ac:dyDescent="0.3">
      <c r="B5" t="s">
        <v>3</v>
      </c>
      <c r="C5">
        <f>SQRT(C4^2-1)</f>
        <v>1.1180339887498949</v>
      </c>
    </row>
    <row r="7" spans="2:4" x14ac:dyDescent="0.3">
      <c r="C7" t="s">
        <v>6</v>
      </c>
      <c r="D7" t="s">
        <v>7</v>
      </c>
    </row>
    <row r="8" spans="2:4" x14ac:dyDescent="0.3">
      <c r="B8" t="s">
        <v>4</v>
      </c>
      <c r="C8">
        <f>(4*C3)/(C5)</f>
        <v>0.31219086674661062</v>
      </c>
    </row>
    <row r="9" spans="2:4" x14ac:dyDescent="0.3">
      <c r="B9" t="s">
        <v>5</v>
      </c>
      <c r="C9">
        <f>(4)/(C5)*(C3^2+C2^2)</f>
        <v>5.0139111121907096E-2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Расчет2</vt:lpstr>
      <vt:lpstr>Ma=0,01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Artem Chernousov</cp:lastModifiedBy>
  <dcterms:created xsi:type="dcterms:W3CDTF">2026-01-26T11:20:37Z</dcterms:created>
  <dcterms:modified xsi:type="dcterms:W3CDTF">2026-04-09T15:58:28Z</dcterms:modified>
</cp:coreProperties>
</file>